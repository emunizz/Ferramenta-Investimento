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E7227202-E885-4304-981C-FE6388B20DDC}" xr6:coauthVersionLast="47" xr6:coauthVersionMax="47" xr10:uidLastSave="{00000000-0000-0000-0000-000000000000}"/>
  <bookViews>
    <workbookView xWindow="-110" yWindow="-110" windowWidth="19420" windowHeight="10300" tabRatio="0" xr2:uid="{23BBDE57-2E38-4AB3-B69E-185FE45193F1}"/>
  </bookViews>
  <sheets>
    <sheet name="Investimento" sheetId="1" r:id="rId1"/>
    <sheet name="Base" sheetId="3" r:id="rId2"/>
  </sheets>
  <definedNames>
    <definedName name="Aporte">Investimento!$E$14</definedName>
    <definedName name="Patrimonio">Investimento!$E$17</definedName>
    <definedName name="Qtd_Anos">Investimento!$E$15</definedName>
    <definedName name="Rendimento_Carteira">Investimento!$E$10</definedName>
    <definedName name="Salario">Investimento!$E$9</definedName>
    <definedName name="Sugestao_Investimento">Investimento!$E$11</definedName>
    <definedName name="Taxa_Mensal">Investimento!$E$16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1" l="1"/>
  <c r="E34" i="1"/>
  <c r="E35" i="1"/>
  <c r="E36" i="1"/>
  <c r="F36" i="1" s="1"/>
  <c r="E37" i="1"/>
  <c r="E32" i="1"/>
  <c r="A10" i="3"/>
  <c r="A11" i="3"/>
  <c r="A12" i="3"/>
  <c r="A13" i="3"/>
  <c r="A14" i="3"/>
  <c r="A15" i="3"/>
  <c r="A16" i="3"/>
  <c r="A17" i="3"/>
  <c r="A18" i="3"/>
  <c r="A19" i="3"/>
  <c r="A20" i="3"/>
  <c r="A9" i="3"/>
  <c r="A4" i="3"/>
  <c r="A5" i="3"/>
  <c r="A6" i="3"/>
  <c r="A7" i="3"/>
  <c r="A8" i="3"/>
  <c r="A3" i="3"/>
  <c r="F29" i="1"/>
  <c r="E17" i="1"/>
  <c r="E18" i="1" s="1"/>
  <c r="E11" i="1"/>
  <c r="E22" i="1"/>
  <c r="F22" i="1" s="1"/>
  <c r="E23" i="1"/>
  <c r="F23" i="1" s="1"/>
  <c r="E24" i="1"/>
  <c r="F24" i="1" s="1"/>
  <c r="E25" i="1"/>
  <c r="F25" i="1" s="1"/>
  <c r="E21" i="1"/>
  <c r="F21" i="1" s="1"/>
  <c r="F34" i="1" l="1"/>
  <c r="F32" i="1"/>
  <c r="F37" i="1"/>
  <c r="F33" i="1"/>
  <c r="F35" i="1"/>
  <c r="F38" i="1" l="1"/>
</calcChain>
</file>

<file path=xl/sharedStrings.xml><?xml version="1.0" encoding="utf-8"?>
<sst xmlns="http://schemas.openxmlformats.org/spreadsheetml/2006/main" count="70" uniqueCount="34">
  <si>
    <t>Quanto investir por mês</t>
  </si>
  <si>
    <t>Por quantos anos</t>
  </si>
  <si>
    <t>Taxa de Rendimento Mensal</t>
  </si>
  <si>
    <t>Patrimônio Acumulado</t>
  </si>
  <si>
    <t>Dividendos Mensais</t>
  </si>
  <si>
    <t>INVESTIMENTO MENSAL</t>
  </si>
  <si>
    <t>%</t>
  </si>
  <si>
    <t>Quanto em 2 anos</t>
  </si>
  <si>
    <t>Quanto em 5 anos</t>
  </si>
  <si>
    <t>Quanto em 10 anos</t>
  </si>
  <si>
    <t>Quanto em 20 anos</t>
  </si>
  <si>
    <t>Quanto em 30 anos</t>
  </si>
  <si>
    <t>Rendimento Carteira</t>
  </si>
  <si>
    <t>Salário</t>
  </si>
  <si>
    <t>Sugestão de Investimento</t>
  </si>
  <si>
    <t>CONFIGURAÇÕES</t>
  </si>
  <si>
    <t>CENÁRIOS</t>
  </si>
  <si>
    <t>PATRIMÔNIO</t>
  </si>
  <si>
    <t>DIVIDENDOS</t>
  </si>
  <si>
    <t>Perfil</t>
  </si>
  <si>
    <t>Agressivo</t>
  </si>
  <si>
    <t>Moderado</t>
  </si>
  <si>
    <t>Conservador</t>
  </si>
  <si>
    <t>PERFIL</t>
  </si>
  <si>
    <t>Valor a ser Investido por mês</t>
  </si>
  <si>
    <t>TIPO DE FII</t>
  </si>
  <si>
    <t>PAPEL</t>
  </si>
  <si>
    <t>TIJOLO</t>
  </si>
  <si>
    <t>R$</t>
  </si>
  <si>
    <t>HÍBRIDOS</t>
  </si>
  <si>
    <t>FOFS</t>
  </si>
  <si>
    <t>DESENVOLVIMENTO</t>
  </si>
  <si>
    <t>HOTELARIAS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</si>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</sst>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9" formatCode="&quot;R$&quot;\ #,##0.00"/>
    <numFmt numFmtId="173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9900"/>
        <bgColor indexed="64"/>
      </patternFill>
    </fill>
    <fill>
      <patternFill patternType="solid">
        <fgColor rgb="FF031D38"/>
        <bgColor indexed="64"/>
      </patternFill>
    </fill>
    <fill>
      <patternFill patternType="solid">
        <fgColor rgb="FFAEB8C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02060"/>
      </right>
      <top/>
      <bottom style="thin">
        <color theme="0" tint="-0.24994659260841701"/>
      </bottom>
      <diagonal/>
    </border>
    <border>
      <left style="thick">
        <color rgb="FF00206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00206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002060"/>
      </left>
      <right style="thin">
        <color theme="0" tint="-0.24994659260841701"/>
      </right>
      <top style="thin">
        <color theme="0" tint="-0.24994659260841701"/>
      </top>
      <bottom style="thick">
        <color rgb="FF002060"/>
      </bottom>
      <diagonal/>
    </border>
    <border>
      <left style="thin">
        <color theme="0" tint="-0.24994659260841701"/>
      </left>
      <right style="thick">
        <color rgb="FF002060"/>
      </right>
      <top style="thin">
        <color theme="0" tint="-0.24994659260841701"/>
      </top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 style="thick">
        <color rgb="FF002060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002060"/>
      </right>
      <top/>
      <bottom style="thin">
        <color theme="0" tint="-0.14996795556505021"/>
      </bottom>
      <diagonal/>
    </border>
    <border>
      <left style="thick">
        <color rgb="FF00206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2060"/>
      </left>
      <right style="thin">
        <color theme="0" tint="-0.14996795556505021"/>
      </right>
      <top style="thin">
        <color theme="0" tint="-0.14996795556505021"/>
      </top>
      <bottom style="thick">
        <color rgb="FF00206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rgb="FF002060"/>
      </bottom>
      <diagonal/>
    </border>
    <border>
      <left style="thin">
        <color theme="0" tint="-0.14996795556505021"/>
      </left>
      <right style="thick">
        <color rgb="FF002060"/>
      </right>
      <top/>
      <bottom style="thick">
        <color rgb="FF00206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5" borderId="0" xfId="0" applyFont="1" applyFill="1"/>
    <xf numFmtId="169" fontId="0" fillId="0" borderId="0" xfId="0" applyNumberFormat="1"/>
    <xf numFmtId="169" fontId="0" fillId="0" borderId="0" xfId="0" applyNumberFormat="1" applyAlignment="1">
      <alignment horizontal="right"/>
    </xf>
    <xf numFmtId="0" fontId="6" fillId="0" borderId="5" xfId="0" applyFont="1" applyBorder="1"/>
    <xf numFmtId="169" fontId="6" fillId="0" borderId="6" xfId="2" applyNumberFormat="1" applyFont="1" applyBorder="1" applyAlignment="1">
      <alignment horizontal="right"/>
    </xf>
    <xf numFmtId="0" fontId="6" fillId="0" borderId="7" xfId="0" applyFont="1" applyBorder="1"/>
    <xf numFmtId="10" fontId="6" fillId="0" borderId="8" xfId="3" applyNumberFormat="1" applyFont="1" applyBorder="1" applyAlignment="1">
      <alignment horizontal="right" vertical="center"/>
    </xf>
    <xf numFmtId="0" fontId="6" fillId="0" borderId="9" xfId="0" applyFont="1" applyBorder="1"/>
    <xf numFmtId="169" fontId="7" fillId="0" borderId="6" xfId="2" applyNumberFormat="1" applyFont="1" applyBorder="1" applyAlignment="1">
      <alignment horizontal="right" vertical="center"/>
    </xf>
    <xf numFmtId="173" fontId="7" fillId="0" borderId="8" xfId="1" applyNumberFormat="1" applyFont="1" applyBorder="1" applyAlignment="1">
      <alignment horizontal="right" vertical="center"/>
    </xf>
    <xf numFmtId="10" fontId="7" fillId="0" borderId="8" xfId="3" applyNumberFormat="1" applyFont="1" applyBorder="1" applyAlignment="1">
      <alignment horizontal="right" vertical="center"/>
    </xf>
    <xf numFmtId="0" fontId="6" fillId="4" borderId="12" xfId="0" applyFont="1" applyFill="1" applyBorder="1"/>
    <xf numFmtId="169" fontId="6" fillId="4" borderId="1" xfId="0" applyNumberFormat="1" applyFont="1" applyFill="1" applyBorder="1" applyAlignment="1">
      <alignment horizontal="right"/>
    </xf>
    <xf numFmtId="169" fontId="7" fillId="4" borderId="13" xfId="0" applyNumberFormat="1" applyFont="1" applyFill="1" applyBorder="1"/>
    <xf numFmtId="0" fontId="6" fillId="4" borderId="14" xfId="0" applyFont="1" applyFill="1" applyBorder="1"/>
    <xf numFmtId="169" fontId="6" fillId="4" borderId="2" xfId="0" applyNumberFormat="1" applyFont="1" applyFill="1" applyBorder="1" applyAlignment="1">
      <alignment horizontal="right"/>
    </xf>
    <xf numFmtId="0" fontId="6" fillId="4" borderId="15" xfId="0" applyFont="1" applyFill="1" applyBorder="1"/>
    <xf numFmtId="169" fontId="6" fillId="4" borderId="16" xfId="0" applyNumberFormat="1" applyFont="1" applyFill="1" applyBorder="1" applyAlignment="1">
      <alignment horizontal="right"/>
    </xf>
    <xf numFmtId="169" fontId="7" fillId="4" borderId="17" xfId="0" applyNumberFormat="1" applyFont="1" applyFill="1" applyBorder="1"/>
    <xf numFmtId="0" fontId="8" fillId="2" borderId="3" xfId="0" applyFont="1" applyFill="1" applyBorder="1" applyAlignment="1">
      <alignment horizontal="center" vertical="center"/>
    </xf>
    <xf numFmtId="169" fontId="8" fillId="2" borderId="11" xfId="0" applyNumberFormat="1" applyFont="1" applyFill="1" applyBorder="1" applyAlignment="1">
      <alignment horizontal="center" vertical="center"/>
    </xf>
    <xf numFmtId="169" fontId="8" fillId="2" borderId="4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4" borderId="0" xfId="0" applyNumberFormat="1" applyFill="1" applyAlignment="1">
      <alignment horizontal="right"/>
    </xf>
    <xf numFmtId="0" fontId="7" fillId="4" borderId="0" xfId="0" applyFont="1" applyFill="1" applyBorder="1"/>
    <xf numFmtId="169" fontId="3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0" fillId="4" borderId="0" xfId="0" applyFill="1"/>
    <xf numFmtId="169" fontId="3" fillId="4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0" fontId="5" fillId="2" borderId="0" xfId="0" applyFont="1" applyFill="1" applyBorder="1"/>
    <xf numFmtId="169" fontId="2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 vertical="center"/>
    </xf>
    <xf numFmtId="169" fontId="2" fillId="3" borderId="0" xfId="0" applyNumberFormat="1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9" fontId="0" fillId="6" borderId="0" xfId="3" applyFont="1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9" fontId="0" fillId="7" borderId="0" xfId="3" applyFont="1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9" fontId="0" fillId="8" borderId="0" xfId="3" applyFont="1" applyFill="1" applyAlignment="1">
      <alignment horizontal="center" vertical="center"/>
    </xf>
    <xf numFmtId="169" fontId="7" fillId="4" borderId="10" xfId="2" applyNumberFormat="1" applyFont="1" applyFill="1" applyBorder="1" applyAlignment="1">
      <alignment horizontal="right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AEB8C2"/>
      <color rgb="FF031D38"/>
      <color rgb="FFCC9900"/>
      <color rgb="FFF9CC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Investimento!$E$31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Investimento!$D$32:$D$38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Investimento!$E$32:$E$38</c:f>
              <c:numCache>
                <c:formatCode>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03F-AFA0-657AFD44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64744</xdr:colOff>
      <xdr:row>1</xdr:row>
      <xdr:rowOff>14194</xdr:rowOff>
    </xdr:from>
    <xdr:to>
      <xdr:col>6</xdr:col>
      <xdr:colOff>52183</xdr:colOff>
      <xdr:row>5</xdr:row>
      <xdr:rowOff>168088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D0D00B-CAEF-FF5A-59DE-AF894C0D3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26" b="24724"/>
        <a:stretch>
          <a:fillRect/>
        </a:stretch>
      </xdr:blipFill>
      <xdr:spPr>
        <a:xfrm>
          <a:off x="326215" y="200959"/>
          <a:ext cx="4818419" cy="900953"/>
        </a:xfrm>
        <a:prstGeom prst="rect">
          <a:avLst/>
        </a:prstGeom>
      </xdr:spPr>
    </xdr:pic>
    <xdr:clientData/>
  </xdr:twoCellAnchor>
  <xdr:twoCellAnchor>
    <xdr:from>
      <xdr:col>3</xdr:col>
      <xdr:colOff>20545</xdr:colOff>
      <xdr:row>39</xdr:row>
      <xdr:rowOff>141195</xdr:rowOff>
    </xdr:from>
    <xdr:to>
      <xdr:col>5</xdr:col>
      <xdr:colOff>1324163</xdr:colOff>
      <xdr:row>54</xdr:row>
      <xdr:rowOff>82924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D68D54-FDB4-964A-1CA3-D946B1997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912D-F747-42D6-85F3-9D840C53BC97}">
  <dimension ref="A7:G39"/>
  <sheetViews>
    <sheetView showGridLines="0" tabSelected="1" zoomScale="102" workbookViewId="0">
      <selection activeCell="B44" sqref="B44"/>
    </sheetView>
  </sheetViews>
  <sheetFormatPr defaultColWidth="0" defaultRowHeight="14.5" x14ac:dyDescent="0.35"/>
  <cols>
    <col min="1" max="3" width="1.90625" customWidth="1"/>
    <col min="4" max="4" width="26.26953125" bestFit="1" customWidth="1"/>
    <col min="5" max="5" width="20.453125" style="3" customWidth="1"/>
    <col min="6" max="6" width="20.453125" style="2" customWidth="1"/>
    <col min="7" max="7" width="3.81640625" customWidth="1"/>
    <col min="8" max="16384" width="3.81640625" hidden="1"/>
  </cols>
  <sheetData>
    <row r="7" spans="4:6" ht="15" thickBot="1" x14ac:dyDescent="0.4">
      <c r="F7"/>
    </row>
    <row r="8" spans="4:6" ht="19" thickTop="1" x14ac:dyDescent="0.35">
      <c r="D8" s="25" t="s">
        <v>15</v>
      </c>
      <c r="E8" s="26"/>
      <c r="F8"/>
    </row>
    <row r="9" spans="4:6" ht="16" x14ac:dyDescent="0.4">
      <c r="D9" s="4" t="s">
        <v>13</v>
      </c>
      <c r="E9" s="5">
        <v>5000</v>
      </c>
      <c r="F9"/>
    </row>
    <row r="10" spans="4:6" ht="16" x14ac:dyDescent="0.4">
      <c r="D10" s="6" t="s">
        <v>12</v>
      </c>
      <c r="E10" s="7">
        <v>6.0000000000000001E-3</v>
      </c>
      <c r="F10"/>
    </row>
    <row r="11" spans="4:6" ht="16.5" thickBot="1" x14ac:dyDescent="0.45">
      <c r="D11" s="8" t="s">
        <v>14</v>
      </c>
      <c r="E11" s="50">
        <f>E9*30%</f>
        <v>1500</v>
      </c>
      <c r="F11"/>
    </row>
    <row r="12" spans="4:6" ht="15.5" thickTop="1" thickBot="1" x14ac:dyDescent="0.4">
      <c r="F12"/>
    </row>
    <row r="13" spans="4:6" ht="19" thickTop="1" x14ac:dyDescent="0.35">
      <c r="D13" s="23" t="s">
        <v>5</v>
      </c>
      <c r="E13" s="24"/>
      <c r="F13"/>
    </row>
    <row r="14" spans="4:6" ht="16" x14ac:dyDescent="0.4">
      <c r="D14" s="4" t="s">
        <v>0</v>
      </c>
      <c r="E14" s="9">
        <v>500</v>
      </c>
      <c r="F14"/>
    </row>
    <row r="15" spans="4:6" ht="16" x14ac:dyDescent="0.4">
      <c r="D15" s="6" t="s">
        <v>1</v>
      </c>
      <c r="E15" s="10">
        <v>5</v>
      </c>
      <c r="F15"/>
    </row>
    <row r="16" spans="4:6" ht="16" x14ac:dyDescent="0.4">
      <c r="D16" s="6" t="s">
        <v>2</v>
      </c>
      <c r="E16" s="11">
        <v>1.0789999999999999E-2</v>
      </c>
      <c r="F16"/>
    </row>
    <row r="17" spans="1:6" ht="16" x14ac:dyDescent="0.4">
      <c r="D17" s="15" t="s">
        <v>3</v>
      </c>
      <c r="E17" s="14">
        <f>FV(Taxa_Mensal,Qtd_Anos*12,Aporte*-1)</f>
        <v>41888.456999243819</v>
      </c>
    </row>
    <row r="18" spans="1:6" ht="16.5" thickBot="1" x14ac:dyDescent="0.45">
      <c r="D18" s="17" t="s">
        <v>4</v>
      </c>
      <c r="E18" s="19">
        <f>Patrimonio*Rendimento_Carteira</f>
        <v>251.33074199546292</v>
      </c>
    </row>
    <row r="19" spans="1:6" ht="15.5" thickTop="1" thickBot="1" x14ac:dyDescent="0.4"/>
    <row r="20" spans="1:6" ht="19" thickTop="1" x14ac:dyDescent="0.35">
      <c r="D20" s="20" t="s">
        <v>16</v>
      </c>
      <c r="E20" s="21" t="s">
        <v>17</v>
      </c>
      <c r="F20" s="22" t="s">
        <v>18</v>
      </c>
    </row>
    <row r="21" spans="1:6" ht="16" x14ac:dyDescent="0.4">
      <c r="A21" s="1">
        <v>2</v>
      </c>
      <c r="B21" s="1"/>
      <c r="C21" s="1"/>
      <c r="D21" s="12" t="s">
        <v>7</v>
      </c>
      <c r="E21" s="13">
        <f>FV($E$16,$A21*12,$E$14*-1)</f>
        <v>13613.813648822608</v>
      </c>
      <c r="F21" s="14">
        <f>E21*Rendimento_Carteira</f>
        <v>81.682881892935654</v>
      </c>
    </row>
    <row r="22" spans="1:6" ht="16" x14ac:dyDescent="0.4">
      <c r="A22" s="1">
        <v>5</v>
      </c>
      <c r="B22" s="1"/>
      <c r="C22" s="1"/>
      <c r="D22" s="15" t="s">
        <v>8</v>
      </c>
      <c r="E22" s="16">
        <f>FV($E$16,$A22*12,$E$14*-1)</f>
        <v>41888.456999243819</v>
      </c>
      <c r="F22" s="14">
        <f>E22*Rendimento_Carteira</f>
        <v>251.33074199546292</v>
      </c>
    </row>
    <row r="23" spans="1:6" ht="16" x14ac:dyDescent="0.4">
      <c r="A23" s="1">
        <v>10</v>
      </c>
      <c r="B23" s="1"/>
      <c r="C23" s="1"/>
      <c r="D23" s="15" t="s">
        <v>9</v>
      </c>
      <c r="E23" s="16">
        <f>FV($E$16,$A23*12,$E$14*-1)</f>
        <v>121642.1062650861</v>
      </c>
      <c r="F23" s="14">
        <f>E23*Rendimento_Carteira</f>
        <v>729.85263759051657</v>
      </c>
    </row>
    <row r="24" spans="1:6" ht="16" x14ac:dyDescent="0.4">
      <c r="A24" s="1">
        <v>20</v>
      </c>
      <c r="B24" s="1"/>
      <c r="C24" s="1"/>
      <c r="D24" s="15" t="s">
        <v>10</v>
      </c>
      <c r="E24" s="16">
        <f>FV($E$16,$A24*12,$E$14*-1)</f>
        <v>562599.20004854025</v>
      </c>
      <c r="F24" s="14">
        <f>E24*Rendimento_Carteira</f>
        <v>3375.5952002912418</v>
      </c>
    </row>
    <row r="25" spans="1:6" ht="16.5" thickBot="1" x14ac:dyDescent="0.45">
      <c r="A25" s="1">
        <v>30</v>
      </c>
      <c r="B25" s="1"/>
      <c r="C25" s="1"/>
      <c r="D25" s="17" t="s">
        <v>11</v>
      </c>
      <c r="E25" s="18">
        <f>FV($E$16,$A25*12,$E$14*-1)</f>
        <v>2161084.8275023573</v>
      </c>
      <c r="F25" s="19">
        <f>E25*Rendimento_Carteira</f>
        <v>12966.508965014144</v>
      </c>
    </row>
    <row r="26" spans="1:6" ht="15" thickTop="1" x14ac:dyDescent="0.35">
      <c r="A26" s="1"/>
      <c r="B26" s="1"/>
      <c r="C26" s="1"/>
    </row>
    <row r="28" spans="1:6" ht="16" x14ac:dyDescent="0.4">
      <c r="D28" s="37" t="s">
        <v>19</v>
      </c>
      <c r="E28" s="38"/>
      <c r="F28" s="40" t="s">
        <v>22</v>
      </c>
    </row>
    <row r="29" spans="1:6" ht="16" x14ac:dyDescent="0.4">
      <c r="D29" s="29" t="s">
        <v>24</v>
      </c>
      <c r="E29" s="30"/>
      <c r="F29" s="31">
        <f>Aporte</f>
        <v>500</v>
      </c>
    </row>
    <row r="31" spans="1:6" x14ac:dyDescent="0.35">
      <c r="D31" s="39" t="s">
        <v>25</v>
      </c>
      <c r="E31" s="40" t="s">
        <v>6</v>
      </c>
      <c r="F31" s="40" t="s">
        <v>28</v>
      </c>
    </row>
    <row r="32" spans="1:6" x14ac:dyDescent="0.35">
      <c r="D32" s="32" t="s">
        <v>26</v>
      </c>
      <c r="E32" s="33">
        <f>VLOOKUP($F$28&amp;"-"&amp;D32,Base!A:D,4,0)</f>
        <v>0.3</v>
      </c>
      <c r="F32" s="27">
        <f>E32*$F$29</f>
        <v>150</v>
      </c>
    </row>
    <row r="33" spans="4:6" x14ac:dyDescent="0.35">
      <c r="D33" s="32" t="s">
        <v>27</v>
      </c>
      <c r="E33" s="33">
        <f>VLOOKUP($F$28&amp;"-"&amp;D33,Base!A:D,4,0)</f>
        <v>0.5</v>
      </c>
      <c r="F33" s="27">
        <f>E33*$F$29</f>
        <v>250</v>
      </c>
    </row>
    <row r="34" spans="4:6" x14ac:dyDescent="0.35">
      <c r="D34" s="32" t="s">
        <v>29</v>
      </c>
      <c r="E34" s="33">
        <f>VLOOKUP($F$28&amp;"-"&amp;D34,Base!A:D,4,0)</f>
        <v>0.1</v>
      </c>
      <c r="F34" s="27">
        <f>E34*$F$29</f>
        <v>50</v>
      </c>
    </row>
    <row r="35" spans="4:6" x14ac:dyDescent="0.35">
      <c r="D35" s="32" t="s">
        <v>30</v>
      </c>
      <c r="E35" s="33">
        <f>VLOOKUP($F$28&amp;"-"&amp;D35,Base!A:D,4,0)</f>
        <v>0.1</v>
      </c>
      <c r="F35" s="27">
        <f>E35*$F$29</f>
        <v>50</v>
      </c>
    </row>
    <row r="36" spans="4:6" x14ac:dyDescent="0.35">
      <c r="D36" s="32" t="s">
        <v>31</v>
      </c>
      <c r="E36" s="33">
        <f>VLOOKUP($F$28&amp;"-"&amp;D36,Base!A:D,4,0)</f>
        <v>0</v>
      </c>
      <c r="F36" s="27">
        <f>E36*$F$29</f>
        <v>0</v>
      </c>
    </row>
    <row r="37" spans="4:6" x14ac:dyDescent="0.35">
      <c r="D37" s="32" t="s">
        <v>32</v>
      </c>
      <c r="E37" s="33">
        <f>VLOOKUP($F$28&amp;"-"&amp;D37,Base!A:D,4,0)</f>
        <v>0</v>
      </c>
      <c r="F37" s="27">
        <f>E37*$F$29</f>
        <v>0</v>
      </c>
    </row>
    <row r="38" spans="4:6" x14ac:dyDescent="0.35">
      <c r="D38" s="34"/>
      <c r="E38" s="28"/>
      <c r="F38" s="35">
        <f>SUM(F32:F37)</f>
        <v>500</v>
      </c>
    </row>
    <row r="39" spans="4:6" x14ac:dyDescent="0.35">
      <c r="F39" s="36"/>
    </row>
  </sheetData>
  <mergeCells count="2">
    <mergeCell ref="D13:E13"/>
    <mergeCell ref="D8:E8"/>
  </mergeCells>
  <dataValidations count="1">
    <dataValidation type="list" allowBlank="1" showInputMessage="1" showErrorMessage="1" sqref="F28" xr:uid="{CACFD8A1-4A97-4061-8E89-16C3A60F4DB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A265-0902-40CA-A149-14628B3A4FE9}">
  <dimension ref="A2:D21"/>
  <sheetViews>
    <sheetView showGridLines="0" zoomScale="95" workbookViewId="0">
      <selection activeCell="F11" sqref="F11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  <col min="4" max="4" width="6.36328125" bestFit="1" customWidth="1"/>
  </cols>
  <sheetData>
    <row r="2" spans="1:4" x14ac:dyDescent="0.35">
      <c r="A2" s="40" t="s">
        <v>33</v>
      </c>
      <c r="B2" s="40" t="s">
        <v>23</v>
      </c>
      <c r="C2" s="39" t="s">
        <v>25</v>
      </c>
      <c r="D2" s="40" t="s">
        <v>6</v>
      </c>
    </row>
    <row r="3" spans="1:4" x14ac:dyDescent="0.35">
      <c r="A3" s="44" t="str">
        <f>B3&amp;"-"&amp;C3</f>
        <v>Conservador-PAPEL</v>
      </c>
      <c r="B3" s="44" t="s">
        <v>22</v>
      </c>
      <c r="C3" s="45" t="s">
        <v>26</v>
      </c>
      <c r="D3" s="46">
        <v>0.3</v>
      </c>
    </row>
    <row r="4" spans="1:4" x14ac:dyDescent="0.35">
      <c r="A4" s="44" t="str">
        <f t="shared" ref="A4:A20" si="0">B4&amp;"-"&amp;C4</f>
        <v>Conservador-TIJOLO</v>
      </c>
      <c r="B4" s="44" t="s">
        <v>22</v>
      </c>
      <c r="C4" s="45" t="s">
        <v>27</v>
      </c>
      <c r="D4" s="46">
        <v>0.5</v>
      </c>
    </row>
    <row r="5" spans="1:4" x14ac:dyDescent="0.35">
      <c r="A5" s="44" t="str">
        <f t="shared" si="0"/>
        <v>Conservador-HÍBRIDOS</v>
      </c>
      <c r="B5" s="44" t="s">
        <v>22</v>
      </c>
      <c r="C5" s="45" t="s">
        <v>29</v>
      </c>
      <c r="D5" s="46">
        <v>0.1</v>
      </c>
    </row>
    <row r="6" spans="1:4" x14ac:dyDescent="0.35">
      <c r="A6" s="44" t="str">
        <f t="shared" si="0"/>
        <v>Conservador-FOFS</v>
      </c>
      <c r="B6" s="44" t="s">
        <v>22</v>
      </c>
      <c r="C6" s="45" t="s">
        <v>30</v>
      </c>
      <c r="D6" s="46">
        <v>0.1</v>
      </c>
    </row>
    <row r="7" spans="1:4" x14ac:dyDescent="0.35">
      <c r="A7" s="44" t="str">
        <f t="shared" si="0"/>
        <v>Conservador-DESENVOLVIMENTO</v>
      </c>
      <c r="B7" s="44" t="s">
        <v>22</v>
      </c>
      <c r="C7" s="45" t="s">
        <v>31</v>
      </c>
      <c r="D7" s="46">
        <v>0</v>
      </c>
    </row>
    <row r="8" spans="1:4" x14ac:dyDescent="0.35">
      <c r="A8" s="44" t="str">
        <f t="shared" si="0"/>
        <v>Conservador-HOTELARIAS</v>
      </c>
      <c r="B8" s="44" t="s">
        <v>22</v>
      </c>
      <c r="C8" s="45" t="s">
        <v>32</v>
      </c>
      <c r="D8" s="46">
        <v>0</v>
      </c>
    </row>
    <row r="9" spans="1:4" x14ac:dyDescent="0.35">
      <c r="A9" s="41" t="str">
        <f t="shared" si="0"/>
        <v>Moderado-PAPEL</v>
      </c>
      <c r="B9" s="41" t="s">
        <v>21</v>
      </c>
      <c r="C9" s="42" t="s">
        <v>26</v>
      </c>
      <c r="D9" s="43">
        <v>0.32</v>
      </c>
    </row>
    <row r="10" spans="1:4" x14ac:dyDescent="0.35">
      <c r="A10" s="41" t="str">
        <f t="shared" si="0"/>
        <v>Moderado-TIJOLO</v>
      </c>
      <c r="B10" s="41" t="s">
        <v>21</v>
      </c>
      <c r="C10" s="42" t="s">
        <v>27</v>
      </c>
      <c r="D10" s="43">
        <v>0.35</v>
      </c>
    </row>
    <row r="11" spans="1:4" x14ac:dyDescent="0.35">
      <c r="A11" s="41" t="str">
        <f t="shared" si="0"/>
        <v>Moderado-HÍBRIDOS</v>
      </c>
      <c r="B11" s="41" t="s">
        <v>21</v>
      </c>
      <c r="C11" s="42" t="s">
        <v>29</v>
      </c>
      <c r="D11" s="43">
        <v>0.08</v>
      </c>
    </row>
    <row r="12" spans="1:4" x14ac:dyDescent="0.35">
      <c r="A12" s="41" t="str">
        <f t="shared" si="0"/>
        <v>Moderado-FOFS</v>
      </c>
      <c r="B12" s="41" t="s">
        <v>21</v>
      </c>
      <c r="C12" s="42" t="s">
        <v>30</v>
      </c>
      <c r="D12" s="43">
        <v>0.05</v>
      </c>
    </row>
    <row r="13" spans="1:4" x14ac:dyDescent="0.35">
      <c r="A13" s="41" t="str">
        <f t="shared" si="0"/>
        <v>Moderado-DESENVOLVIMENTO</v>
      </c>
      <c r="B13" s="41" t="s">
        <v>21</v>
      </c>
      <c r="C13" s="42" t="s">
        <v>31</v>
      </c>
      <c r="D13" s="43">
        <v>0.1</v>
      </c>
    </row>
    <row r="14" spans="1:4" x14ac:dyDescent="0.35">
      <c r="A14" s="41" t="str">
        <f t="shared" si="0"/>
        <v>Moderado-HOTELARIAS</v>
      </c>
      <c r="B14" s="41" t="s">
        <v>21</v>
      </c>
      <c r="C14" s="42" t="s">
        <v>32</v>
      </c>
      <c r="D14" s="43">
        <v>0.1</v>
      </c>
    </row>
    <row r="15" spans="1:4" x14ac:dyDescent="0.35">
      <c r="A15" s="47" t="str">
        <f t="shared" si="0"/>
        <v>Agressivo-PAPEL</v>
      </c>
      <c r="B15" s="47" t="s">
        <v>20</v>
      </c>
      <c r="C15" s="48" t="s">
        <v>26</v>
      </c>
      <c r="D15" s="49">
        <v>0.5</v>
      </c>
    </row>
    <row r="16" spans="1:4" x14ac:dyDescent="0.35">
      <c r="A16" s="47" t="str">
        <f t="shared" si="0"/>
        <v>Agressivo-TIJOLO</v>
      </c>
      <c r="B16" s="47" t="s">
        <v>20</v>
      </c>
      <c r="C16" s="48" t="s">
        <v>27</v>
      </c>
      <c r="D16" s="49">
        <v>0.1</v>
      </c>
    </row>
    <row r="17" spans="1:4" x14ac:dyDescent="0.35">
      <c r="A17" s="47" t="str">
        <f t="shared" si="0"/>
        <v>Agressivo-HÍBRIDOS</v>
      </c>
      <c r="B17" s="47" t="s">
        <v>20</v>
      </c>
      <c r="C17" s="48" t="s">
        <v>29</v>
      </c>
      <c r="D17" s="49">
        <v>0.05</v>
      </c>
    </row>
    <row r="18" spans="1:4" x14ac:dyDescent="0.35">
      <c r="A18" s="47" t="str">
        <f t="shared" si="0"/>
        <v>Agressivo-FOFS</v>
      </c>
      <c r="B18" s="47" t="s">
        <v>20</v>
      </c>
      <c r="C18" s="48" t="s">
        <v>30</v>
      </c>
      <c r="D18" s="49">
        <v>0.05</v>
      </c>
    </row>
    <row r="19" spans="1:4" x14ac:dyDescent="0.35">
      <c r="A19" s="47" t="str">
        <f t="shared" si="0"/>
        <v>Agressivo-DESENVOLVIMENTO</v>
      </c>
      <c r="B19" s="47" t="s">
        <v>20</v>
      </c>
      <c r="C19" s="48" t="s">
        <v>31</v>
      </c>
      <c r="D19" s="49">
        <v>0.2</v>
      </c>
    </row>
    <row r="20" spans="1:4" x14ac:dyDescent="0.35">
      <c r="A20" s="47" t="str">
        <f t="shared" si="0"/>
        <v>Agressivo-HOTELARIAS</v>
      </c>
      <c r="B20" s="47" t="s">
        <v>20</v>
      </c>
      <c r="C20" s="48" t="s">
        <v>32</v>
      </c>
      <c r="D20" s="49">
        <v>0.1</v>
      </c>
    </row>
    <row r="21" spans="1:4" x14ac:dyDescent="0.35">
      <c r="D21" s="3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</vt:lpstr>
      <vt:lpstr>Base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Muniz</dc:creator>
  <cp:lastModifiedBy>Eduarda Muniz</cp:lastModifiedBy>
  <dcterms:created xsi:type="dcterms:W3CDTF">2026-09-09T21:37:20Z</dcterms:created>
  <dcterms:modified xsi:type="dcterms:W3CDTF">2026-09-10T00:17:18Z</dcterms:modified>
</cp:coreProperties>
</file>